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64"/>
  </bookViews>
  <sheets>
    <sheet name="India_EV_Statewise_Wide_2019_20" sheetId="1" r:id="rId1"/>
  </sheets>
  <calcPr calcId="152511"/>
</workbook>
</file>

<file path=xl/calcChain.xml><?xml version="1.0" encoding="utf-8"?>
<calcChain xmlns="http://schemas.openxmlformats.org/spreadsheetml/2006/main">
  <c r="J35" i="1" l="1"/>
  <c r="I35" i="1"/>
  <c r="H35" i="1"/>
  <c r="G35" i="1"/>
  <c r="F35" i="1"/>
  <c r="C35" i="1"/>
  <c r="D35" i="1"/>
  <c r="E35" i="1"/>
  <c r="B35" i="1"/>
  <c r="J19" i="1"/>
  <c r="J18" i="1"/>
  <c r="F1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" i="1"/>
  <c r="H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</calcChain>
</file>

<file path=xl/sharedStrings.xml><?xml version="1.0" encoding="utf-8"?>
<sst xmlns="http://schemas.openxmlformats.org/spreadsheetml/2006/main" count="44" uniqueCount="44">
  <si>
    <t>Region</t>
  </si>
  <si>
    <t>2020-21</t>
  </si>
  <si>
    <t>2021-22</t>
  </si>
  <si>
    <t>2022-23</t>
  </si>
  <si>
    <t>2023-24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</si>
  <si>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</si>
  <si>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</si>
  <si>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</si>
  <si>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</si>
  <si>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</si>
  <si>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</si>
  <si>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</si>
  <si>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</si>
  <si>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</si>
  <si>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</si>
  <si>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</si>
  <si>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</si>
  <si>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</si>
  <si>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</si>
  <si>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</si>
  <si>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</si>
  <si>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</si>
  <si>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</si>
  <si>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</si>
  <si>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</si>
  <si>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</si>
  <si>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</si>
  <si>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</si>
  <si>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</si>
  <si>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</si>
  <si>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</si>
  <si>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</si>
  <si>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</si>
  <si>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Tamil Nadu</t>
  </si>
  <si>
    <t>Tripura</t>
  </si>
  <si>
    <t>Uttar Pradesh</t>
  </si>
  <si>
    <t>Uttarakhand</t>
  </si>
  <si>
    <t>West Bengal</t>
  </si>
  <si>
    <t>Total(2020-24)</t>
  </si>
  <si>
    <t>YoY_21vs20(%)</t>
  </si>
  <si>
    <t>YoY_22vs21 (%)</t>
  </si>
  <si>
    <t>YoY_23vs22 (%)</t>
  </si>
  <si>
    <t>CAGR (%)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</si>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</sst>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pane ySplit="1" topLeftCell="A2" activePane="bottomLeft" state="frozen"/>
      <selection pane="bottomLeft" activeCell="J34" sqref="J34:J35"/>
    </sheetView>
  </sheetViews>
  <sheetFormatPr defaultRowHeight="14.4" x14ac:dyDescent="0.3"/>
  <cols>
    <col min="1" max="1" width="37" bestFit="1" customWidth="1"/>
    <col min="2" max="3" width="7.6640625" bestFit="1" customWidth="1"/>
    <col min="4" max="5" width="8" bestFit="1" customWidth="1"/>
    <col min="6" max="6" width="13.109375" bestFit="1" customWidth="1"/>
    <col min="7" max="7" width="13.44140625" style="1" bestFit="1" customWidth="1"/>
    <col min="8" max="9" width="13.88671875" style="1" bestFit="1" customWidth="1"/>
    <col min="10" max="10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3">
      <c r="A2" t="s">
        <v>5</v>
      </c>
      <c r="B2">
        <v>36</v>
      </c>
      <c r="C2">
        <v>92</v>
      </c>
      <c r="D2">
        <v>23</v>
      </c>
      <c r="E2">
        <v>18</v>
      </c>
      <c r="F2">
        <f>B2+C2+D2+E2</f>
        <v>169</v>
      </c>
      <c r="G2" s="1">
        <f>((C2-B2)/B2)</f>
        <v>1.5555555555555556</v>
      </c>
      <c r="H2" s="1">
        <f>((D2-C2)/C2)</f>
        <v>-0.75</v>
      </c>
      <c r="I2" s="1">
        <f>((E2-D2)/D2)</f>
        <v>-0.21739130434782608</v>
      </c>
      <c r="J2" s="1">
        <f>((E2/B2)^(1/3))-1</f>
        <v>-0.20629947401590021</v>
      </c>
    </row>
    <row r="3" spans="1:10" x14ac:dyDescent="0.3">
      <c r="A3" t="s">
        <v>6</v>
      </c>
      <c r="B3">
        <v>1654</v>
      </c>
      <c r="C3">
        <v>9738</v>
      </c>
      <c r="D3">
        <v>29450</v>
      </c>
      <c r="E3">
        <v>29546</v>
      </c>
      <c r="F3">
        <f t="shared" ref="F3:F34" si="0">B3+C3+D3+E3</f>
        <v>70388</v>
      </c>
      <c r="G3" s="1">
        <f t="shared" ref="G3:G35" si="1">((C3-B3)/B3)</f>
        <v>4.8875453446191051</v>
      </c>
      <c r="H3" s="1">
        <f t="shared" ref="H3:H35" si="2">((D3-C3)/C3)</f>
        <v>2.024234955843089</v>
      </c>
      <c r="I3" s="1">
        <f t="shared" ref="I3:I35" si="3">((E3-D3)/D3)</f>
        <v>3.259762308998302E-3</v>
      </c>
      <c r="J3" s="1">
        <f t="shared" ref="J3:J35" si="4">((E3/B3)^(1/3))-1</f>
        <v>1.6140931721939311</v>
      </c>
    </row>
    <row r="4" spans="1:10" x14ac:dyDescent="0.3">
      <c r="A4" t="s">
        <v>7</v>
      </c>
      <c r="B4">
        <v>5</v>
      </c>
      <c r="C4">
        <v>2</v>
      </c>
      <c r="D4">
        <v>2</v>
      </c>
      <c r="E4">
        <v>17</v>
      </c>
      <c r="F4">
        <f t="shared" si="0"/>
        <v>26</v>
      </c>
      <c r="G4" s="1">
        <f t="shared" si="1"/>
        <v>-0.6</v>
      </c>
      <c r="H4" s="1">
        <f t="shared" si="2"/>
        <v>0</v>
      </c>
      <c r="I4" s="1">
        <f t="shared" si="3"/>
        <v>7.5</v>
      </c>
      <c r="J4" s="1">
        <f t="shared" si="4"/>
        <v>0.50369459620497481</v>
      </c>
    </row>
    <row r="5" spans="1:10" x14ac:dyDescent="0.3">
      <c r="A5" t="s">
        <v>8</v>
      </c>
      <c r="B5">
        <v>8357</v>
      </c>
      <c r="C5">
        <v>15634</v>
      </c>
      <c r="D5">
        <v>40719</v>
      </c>
      <c r="E5">
        <v>56448</v>
      </c>
      <c r="F5">
        <f t="shared" si="0"/>
        <v>121158</v>
      </c>
      <c r="G5" s="1">
        <f t="shared" si="1"/>
        <v>0.87076702165848985</v>
      </c>
      <c r="H5" s="1">
        <f t="shared" si="2"/>
        <v>1.6045157988998338</v>
      </c>
      <c r="I5" s="1">
        <f t="shared" si="3"/>
        <v>0.38628158844765342</v>
      </c>
      <c r="J5" s="1">
        <f t="shared" si="4"/>
        <v>0.89030863835242413</v>
      </c>
    </row>
    <row r="6" spans="1:10" x14ac:dyDescent="0.3">
      <c r="A6" t="s">
        <v>9</v>
      </c>
      <c r="B6">
        <v>12447</v>
      </c>
      <c r="C6">
        <v>23082</v>
      </c>
      <c r="D6">
        <v>55751</v>
      </c>
      <c r="E6">
        <v>79469</v>
      </c>
      <c r="F6">
        <f t="shared" si="0"/>
        <v>170749</v>
      </c>
      <c r="G6" s="1">
        <f t="shared" si="1"/>
        <v>0.85442275247047483</v>
      </c>
      <c r="H6" s="1">
        <f t="shared" si="2"/>
        <v>1.415345290702712</v>
      </c>
      <c r="I6" s="1">
        <f t="shared" si="3"/>
        <v>0.4254273465946799</v>
      </c>
      <c r="J6" s="1">
        <f t="shared" si="4"/>
        <v>0.85514425678456907</v>
      </c>
    </row>
    <row r="7" spans="1:10" x14ac:dyDescent="0.3">
      <c r="A7" t="s">
        <v>10</v>
      </c>
      <c r="B7">
        <v>369</v>
      </c>
      <c r="C7">
        <v>734</v>
      </c>
      <c r="D7">
        <v>2721</v>
      </c>
      <c r="E7">
        <v>5753</v>
      </c>
      <c r="F7">
        <f t="shared" si="0"/>
        <v>9577</v>
      </c>
      <c r="G7" s="1">
        <f t="shared" si="1"/>
        <v>0.98915989159891604</v>
      </c>
      <c r="H7" s="1">
        <f t="shared" si="2"/>
        <v>2.7070844686648501</v>
      </c>
      <c r="I7" s="1">
        <f t="shared" si="3"/>
        <v>1.1142962146269755</v>
      </c>
      <c r="J7" s="1">
        <f t="shared" si="4"/>
        <v>1.4981739149092066</v>
      </c>
    </row>
    <row r="8" spans="1:10" x14ac:dyDescent="0.3">
      <c r="A8" t="s">
        <v>11</v>
      </c>
      <c r="B8">
        <v>1489</v>
      </c>
      <c r="C8">
        <v>4215</v>
      </c>
      <c r="D8">
        <v>22364</v>
      </c>
      <c r="E8">
        <v>35115</v>
      </c>
      <c r="F8">
        <f t="shared" si="0"/>
        <v>63183</v>
      </c>
      <c r="G8" s="1">
        <f t="shared" si="1"/>
        <v>1.8307588985896575</v>
      </c>
      <c r="H8" s="1">
        <f t="shared" si="2"/>
        <v>4.305812574139976</v>
      </c>
      <c r="I8" s="1">
        <f t="shared" si="3"/>
        <v>0.57015739581470215</v>
      </c>
      <c r="J8" s="1">
        <f t="shared" si="4"/>
        <v>1.8676930139491383</v>
      </c>
    </row>
    <row r="9" spans="1:10" x14ac:dyDescent="0.3">
      <c r="A9" t="s">
        <v>12</v>
      </c>
      <c r="B9">
        <v>24</v>
      </c>
      <c r="C9">
        <v>29</v>
      </c>
      <c r="D9">
        <v>141</v>
      </c>
      <c r="E9">
        <v>142</v>
      </c>
      <c r="F9">
        <f t="shared" si="0"/>
        <v>336</v>
      </c>
      <c r="G9" s="1">
        <f t="shared" si="1"/>
        <v>0.20833333333333334</v>
      </c>
      <c r="H9" s="1">
        <f t="shared" si="2"/>
        <v>3.8620689655172415</v>
      </c>
      <c r="I9" s="1">
        <f t="shared" si="3"/>
        <v>7.0921985815602835E-3</v>
      </c>
      <c r="J9" s="1">
        <f t="shared" si="4"/>
        <v>0.8086687469645657</v>
      </c>
    </row>
    <row r="10" spans="1:10" x14ac:dyDescent="0.3">
      <c r="A10" t="s">
        <v>13</v>
      </c>
      <c r="B10">
        <v>12377</v>
      </c>
      <c r="C10">
        <v>25816</v>
      </c>
      <c r="D10">
        <v>62256</v>
      </c>
      <c r="E10">
        <v>64382</v>
      </c>
      <c r="F10">
        <f t="shared" si="0"/>
        <v>164831</v>
      </c>
      <c r="G10" s="1">
        <f t="shared" si="1"/>
        <v>1.0858043144542295</v>
      </c>
      <c r="H10" s="1">
        <f t="shared" si="2"/>
        <v>1.411527734738147</v>
      </c>
      <c r="I10" s="1">
        <f t="shared" si="3"/>
        <v>3.4149318941146235E-2</v>
      </c>
      <c r="J10" s="1">
        <f t="shared" si="4"/>
        <v>0.73267200139671407</v>
      </c>
    </row>
    <row r="11" spans="1:10" x14ac:dyDescent="0.3">
      <c r="A11" t="s">
        <v>14</v>
      </c>
      <c r="B11">
        <v>82</v>
      </c>
      <c r="C11">
        <v>1096</v>
      </c>
      <c r="D11">
        <v>5688</v>
      </c>
      <c r="E11">
        <v>8637</v>
      </c>
      <c r="F11">
        <f t="shared" si="0"/>
        <v>15503</v>
      </c>
      <c r="G11" s="1">
        <f t="shared" si="1"/>
        <v>12.365853658536585</v>
      </c>
      <c r="H11" s="1">
        <f t="shared" si="2"/>
        <v>4.1897810218978107</v>
      </c>
      <c r="I11" s="1">
        <f t="shared" si="3"/>
        <v>0.51845991561181437</v>
      </c>
      <c r="J11" s="1">
        <f t="shared" si="4"/>
        <v>3.7226202219537061</v>
      </c>
    </row>
    <row r="12" spans="1:10" x14ac:dyDescent="0.3">
      <c r="A12" t="s">
        <v>15</v>
      </c>
      <c r="B12">
        <v>1120</v>
      </c>
      <c r="C12">
        <v>9765</v>
      </c>
      <c r="D12">
        <v>68998</v>
      </c>
      <c r="E12">
        <v>83965</v>
      </c>
      <c r="F12">
        <f t="shared" si="0"/>
        <v>163848</v>
      </c>
      <c r="G12" s="1">
        <f t="shared" si="1"/>
        <v>7.71875</v>
      </c>
      <c r="H12" s="1">
        <f t="shared" si="2"/>
        <v>6.0658474142345113</v>
      </c>
      <c r="I12" s="1">
        <f t="shared" si="3"/>
        <v>0.2169193309951013</v>
      </c>
      <c r="J12" s="1">
        <f t="shared" si="4"/>
        <v>3.2165775280116273</v>
      </c>
    </row>
    <row r="13" spans="1:10" x14ac:dyDescent="0.3">
      <c r="A13" t="s">
        <v>16</v>
      </c>
      <c r="B13">
        <v>2982</v>
      </c>
      <c r="C13">
        <v>8660</v>
      </c>
      <c r="D13">
        <v>25864</v>
      </c>
      <c r="E13">
        <v>27465</v>
      </c>
      <c r="F13">
        <f t="shared" si="0"/>
        <v>64971</v>
      </c>
      <c r="G13" s="1">
        <f t="shared" si="1"/>
        <v>1.904091213950369</v>
      </c>
      <c r="H13" s="1">
        <f t="shared" si="2"/>
        <v>1.9866050808314089</v>
      </c>
      <c r="I13" s="1">
        <f t="shared" si="3"/>
        <v>6.190071141354779E-2</v>
      </c>
      <c r="J13" s="1">
        <f t="shared" si="4"/>
        <v>1.0961578704299448</v>
      </c>
    </row>
    <row r="14" spans="1:10" x14ac:dyDescent="0.3">
      <c r="A14" t="s">
        <v>17</v>
      </c>
      <c r="B14">
        <v>181</v>
      </c>
      <c r="C14">
        <v>327</v>
      </c>
      <c r="D14">
        <v>1008</v>
      </c>
      <c r="E14">
        <v>1003</v>
      </c>
      <c r="F14">
        <f t="shared" si="0"/>
        <v>2519</v>
      </c>
      <c r="G14" s="1">
        <f t="shared" si="1"/>
        <v>0.8066298342541437</v>
      </c>
      <c r="H14" s="1">
        <f t="shared" si="2"/>
        <v>2.0825688073394497</v>
      </c>
      <c r="I14" s="1">
        <f t="shared" si="3"/>
        <v>-4.96031746031746E-3</v>
      </c>
      <c r="J14" s="1">
        <f t="shared" si="4"/>
        <v>0.76959596511514516</v>
      </c>
    </row>
    <row r="15" spans="1:10" x14ac:dyDescent="0.3">
      <c r="A15" t="s">
        <v>18</v>
      </c>
      <c r="B15">
        <v>74</v>
      </c>
      <c r="C15">
        <v>1146</v>
      </c>
      <c r="D15">
        <v>4689</v>
      </c>
      <c r="E15">
        <v>8823</v>
      </c>
      <c r="F15">
        <f t="shared" si="0"/>
        <v>14732</v>
      </c>
      <c r="G15" s="1">
        <f t="shared" si="1"/>
        <v>14.486486486486486</v>
      </c>
      <c r="H15" s="1">
        <f t="shared" si="2"/>
        <v>3.0916230366492146</v>
      </c>
      <c r="I15" s="1">
        <f t="shared" si="3"/>
        <v>0.88163787587971854</v>
      </c>
      <c r="J15" s="1">
        <f t="shared" si="4"/>
        <v>3.9218478766388829</v>
      </c>
    </row>
    <row r="16" spans="1:10" x14ac:dyDescent="0.3">
      <c r="A16" t="s">
        <v>19</v>
      </c>
      <c r="B16">
        <v>1516</v>
      </c>
      <c r="C16">
        <v>3741</v>
      </c>
      <c r="D16">
        <v>13682</v>
      </c>
      <c r="E16">
        <v>19096</v>
      </c>
      <c r="F16">
        <f t="shared" si="0"/>
        <v>38035</v>
      </c>
      <c r="G16" s="1">
        <f t="shared" si="1"/>
        <v>1.4676781002638521</v>
      </c>
      <c r="H16" s="1">
        <f t="shared" si="2"/>
        <v>2.6573108794439988</v>
      </c>
      <c r="I16" s="1">
        <f t="shared" si="3"/>
        <v>0.39570238269258878</v>
      </c>
      <c r="J16" s="1">
        <f t="shared" si="4"/>
        <v>1.3267393509280572</v>
      </c>
    </row>
    <row r="17" spans="1:10" x14ac:dyDescent="0.3">
      <c r="A17" t="s">
        <v>20</v>
      </c>
      <c r="B17">
        <v>9707</v>
      </c>
      <c r="C17">
        <v>33307</v>
      </c>
      <c r="D17">
        <v>95900</v>
      </c>
      <c r="E17">
        <v>141057</v>
      </c>
      <c r="F17">
        <f t="shared" si="0"/>
        <v>279971</v>
      </c>
      <c r="G17" s="1">
        <f t="shared" si="1"/>
        <v>2.4312351910992067</v>
      </c>
      <c r="H17" s="1">
        <f t="shared" si="2"/>
        <v>1.8792746269552947</v>
      </c>
      <c r="I17" s="1">
        <f t="shared" si="3"/>
        <v>0.47087591240875915</v>
      </c>
      <c r="J17" s="1">
        <f t="shared" si="4"/>
        <v>1.4402624534891375</v>
      </c>
    </row>
    <row r="18" spans="1:10" x14ac:dyDescent="0.3">
      <c r="A18" t="s">
        <v>21</v>
      </c>
      <c r="B18">
        <v>1362</v>
      </c>
      <c r="C18">
        <v>8743</v>
      </c>
      <c r="D18">
        <v>39622</v>
      </c>
      <c r="E18">
        <v>69624</v>
      </c>
      <c r="F18">
        <f t="shared" si="0"/>
        <v>119351</v>
      </c>
      <c r="G18" s="1">
        <f t="shared" si="1"/>
        <v>5.4192364170337735</v>
      </c>
      <c r="H18" s="1">
        <f t="shared" si="2"/>
        <v>3.5318540546723094</v>
      </c>
      <c r="I18" s="1">
        <f t="shared" si="3"/>
        <v>0.7572055928524557</v>
      </c>
      <c r="J18" s="1">
        <f>((E18/B18)^(1/3))-1</f>
        <v>2.7113104771329759</v>
      </c>
    </row>
    <row r="19" spans="1:10" x14ac:dyDescent="0.3">
      <c r="A19" t="s">
        <v>22</v>
      </c>
      <c r="B19">
        <v>0</v>
      </c>
      <c r="C19">
        <v>6</v>
      </c>
      <c r="D19">
        <v>40</v>
      </c>
      <c r="E19">
        <v>28</v>
      </c>
      <c r="F19">
        <f t="shared" si="0"/>
        <v>74</v>
      </c>
      <c r="G19" s="1">
        <v>6</v>
      </c>
      <c r="H19" s="1">
        <f>((D19-C19)/C19)</f>
        <v>5.666666666666667</v>
      </c>
      <c r="I19" s="1">
        <f t="shared" si="3"/>
        <v>-0.3</v>
      </c>
      <c r="J19" s="1">
        <f>((E19)^(1/3))-1</f>
        <v>2.0365889718756618</v>
      </c>
    </row>
    <row r="20" spans="1:10" x14ac:dyDescent="0.3">
      <c r="A20" t="s">
        <v>23</v>
      </c>
      <c r="B20">
        <v>3358</v>
      </c>
      <c r="C20">
        <v>10427</v>
      </c>
      <c r="D20">
        <v>36804</v>
      </c>
      <c r="E20">
        <v>61678</v>
      </c>
      <c r="F20">
        <f t="shared" si="0"/>
        <v>112267</v>
      </c>
      <c r="G20" s="1">
        <f t="shared" si="1"/>
        <v>2.1051220964860038</v>
      </c>
      <c r="H20" s="1">
        <f t="shared" si="2"/>
        <v>2.5296825549055337</v>
      </c>
      <c r="I20" s="1">
        <f t="shared" si="3"/>
        <v>0.67585045103793062</v>
      </c>
      <c r="J20" s="1">
        <f t="shared" si="4"/>
        <v>1.6384560456489035</v>
      </c>
    </row>
    <row r="21" spans="1:10" x14ac:dyDescent="0.3">
      <c r="A21" t="s">
        <v>24</v>
      </c>
      <c r="B21">
        <v>7134</v>
      </c>
      <c r="C21">
        <v>29914</v>
      </c>
      <c r="D21">
        <v>136051</v>
      </c>
      <c r="E21">
        <v>178488</v>
      </c>
      <c r="F21">
        <f t="shared" si="0"/>
        <v>351587</v>
      </c>
      <c r="G21" s="1">
        <f t="shared" si="1"/>
        <v>3.1931595178020746</v>
      </c>
      <c r="H21" s="1">
        <f t="shared" si="2"/>
        <v>3.5480711372601457</v>
      </c>
      <c r="I21" s="1">
        <f t="shared" si="3"/>
        <v>0.31191979478283877</v>
      </c>
      <c r="J21" s="1">
        <f t="shared" si="4"/>
        <v>1.9247717059134812</v>
      </c>
    </row>
    <row r="22" spans="1:10" x14ac:dyDescent="0.3">
      <c r="A22" t="s">
        <v>25</v>
      </c>
      <c r="B22">
        <v>104</v>
      </c>
      <c r="C22">
        <v>114</v>
      </c>
      <c r="D22">
        <v>341</v>
      </c>
      <c r="E22">
        <v>386</v>
      </c>
      <c r="F22">
        <f t="shared" si="0"/>
        <v>945</v>
      </c>
      <c r="G22" s="1">
        <f t="shared" si="1"/>
        <v>9.6153846153846159E-2</v>
      </c>
      <c r="H22" s="1">
        <f t="shared" si="2"/>
        <v>1.9912280701754386</v>
      </c>
      <c r="I22" s="1">
        <f t="shared" si="3"/>
        <v>0.13196480938416422</v>
      </c>
      <c r="J22" s="1">
        <f t="shared" si="4"/>
        <v>0.54828648123317092</v>
      </c>
    </row>
    <row r="23" spans="1:10" x14ac:dyDescent="0.3">
      <c r="A23" t="s">
        <v>26</v>
      </c>
      <c r="B23">
        <v>3</v>
      </c>
      <c r="C23">
        <v>5</v>
      </c>
      <c r="D23">
        <v>42</v>
      </c>
      <c r="E23">
        <v>110</v>
      </c>
      <c r="F23">
        <f t="shared" si="0"/>
        <v>160</v>
      </c>
      <c r="G23" s="1">
        <f t="shared" si="1"/>
        <v>0.66666666666666663</v>
      </c>
      <c r="H23" s="1">
        <f t="shared" si="2"/>
        <v>7.4</v>
      </c>
      <c r="I23" s="1">
        <f t="shared" si="3"/>
        <v>1.6190476190476191</v>
      </c>
      <c r="J23" s="1">
        <f t="shared" si="4"/>
        <v>2.3221849780419874</v>
      </c>
    </row>
    <row r="24" spans="1:10" x14ac:dyDescent="0.3">
      <c r="A24" t="s">
        <v>27</v>
      </c>
      <c r="B24">
        <v>1</v>
      </c>
      <c r="C24">
        <v>1</v>
      </c>
      <c r="D24">
        <v>36</v>
      </c>
      <c r="E24">
        <v>144</v>
      </c>
      <c r="F24">
        <f t="shared" si="0"/>
        <v>182</v>
      </c>
      <c r="G24" s="1">
        <f t="shared" si="1"/>
        <v>0</v>
      </c>
      <c r="H24" s="1">
        <f t="shared" si="2"/>
        <v>35</v>
      </c>
      <c r="I24" s="1">
        <f t="shared" si="3"/>
        <v>3</v>
      </c>
      <c r="J24" s="1">
        <f t="shared" si="4"/>
        <v>4.2414827884177937</v>
      </c>
    </row>
    <row r="25" spans="1:10" x14ac:dyDescent="0.3">
      <c r="A25" t="s">
        <v>28</v>
      </c>
      <c r="B25">
        <v>11</v>
      </c>
      <c r="C25">
        <v>2</v>
      </c>
      <c r="D25">
        <v>3</v>
      </c>
      <c r="E25">
        <v>6</v>
      </c>
      <c r="F25">
        <f t="shared" si="0"/>
        <v>22</v>
      </c>
      <c r="G25" s="1">
        <f t="shared" si="1"/>
        <v>-0.81818181818181823</v>
      </c>
      <c r="H25" s="1">
        <f t="shared" si="2"/>
        <v>0.5</v>
      </c>
      <c r="I25" s="1">
        <f t="shared" si="3"/>
        <v>1</v>
      </c>
      <c r="J25" s="1">
        <f t="shared" si="4"/>
        <v>-0.18294205935675623</v>
      </c>
    </row>
    <row r="26" spans="1:10" x14ac:dyDescent="0.3">
      <c r="A26" t="s">
        <v>29</v>
      </c>
      <c r="B26">
        <v>904</v>
      </c>
      <c r="C26">
        <v>5626</v>
      </c>
      <c r="D26">
        <v>28446</v>
      </c>
      <c r="E26">
        <v>39839</v>
      </c>
      <c r="F26">
        <f t="shared" si="0"/>
        <v>74815</v>
      </c>
      <c r="G26" s="1">
        <f t="shared" si="1"/>
        <v>5.2234513274336285</v>
      </c>
      <c r="H26" s="1">
        <f t="shared" si="2"/>
        <v>4.0561677923924639</v>
      </c>
      <c r="I26" s="1">
        <f t="shared" si="3"/>
        <v>0.40051325318146663</v>
      </c>
      <c r="J26" s="1">
        <f t="shared" si="4"/>
        <v>2.5322112226994902</v>
      </c>
    </row>
    <row r="27" spans="1:10" x14ac:dyDescent="0.3">
      <c r="A27" t="s">
        <v>30</v>
      </c>
      <c r="B27">
        <v>88</v>
      </c>
      <c r="C27">
        <v>405</v>
      </c>
      <c r="D27">
        <v>1481</v>
      </c>
      <c r="E27">
        <v>2405</v>
      </c>
      <c r="F27">
        <f t="shared" si="0"/>
        <v>4379</v>
      </c>
      <c r="G27" s="1">
        <f t="shared" si="1"/>
        <v>3.6022727272727271</v>
      </c>
      <c r="H27" s="1">
        <f t="shared" si="2"/>
        <v>2.6567901234567901</v>
      </c>
      <c r="I27" s="1">
        <f t="shared" si="3"/>
        <v>0.62390276839972991</v>
      </c>
      <c r="J27" s="1">
        <f t="shared" si="4"/>
        <v>2.0121560640447269</v>
      </c>
    </row>
    <row r="28" spans="1:10" x14ac:dyDescent="0.3">
      <c r="A28" t="s">
        <v>31</v>
      </c>
      <c r="B28">
        <v>832</v>
      </c>
      <c r="C28">
        <v>4643</v>
      </c>
      <c r="D28">
        <v>14053</v>
      </c>
      <c r="E28">
        <v>23378</v>
      </c>
      <c r="F28">
        <f t="shared" si="0"/>
        <v>42906</v>
      </c>
      <c r="G28" s="1">
        <f t="shared" si="1"/>
        <v>4.5805288461538458</v>
      </c>
      <c r="H28" s="1">
        <f t="shared" si="2"/>
        <v>2.0267068705578288</v>
      </c>
      <c r="I28" s="1">
        <f t="shared" si="3"/>
        <v>0.6635593823382907</v>
      </c>
      <c r="J28" s="1">
        <f t="shared" si="4"/>
        <v>2.0401476473587117</v>
      </c>
    </row>
    <row r="29" spans="1:10" x14ac:dyDescent="0.3">
      <c r="A29" t="s">
        <v>32</v>
      </c>
      <c r="B29">
        <v>5604</v>
      </c>
      <c r="C29">
        <v>23464</v>
      </c>
      <c r="D29">
        <v>78238</v>
      </c>
      <c r="E29">
        <v>86376</v>
      </c>
      <c r="F29">
        <f t="shared" si="0"/>
        <v>193682</v>
      </c>
      <c r="G29" s="1">
        <f t="shared" si="1"/>
        <v>3.1870092790863667</v>
      </c>
      <c r="H29" s="1">
        <f t="shared" si="2"/>
        <v>2.334384589157859</v>
      </c>
      <c r="I29" s="1">
        <f t="shared" si="3"/>
        <v>0.10401595132799918</v>
      </c>
      <c r="J29" s="1">
        <f t="shared" si="4"/>
        <v>1.4886566751025381</v>
      </c>
    </row>
    <row r="30" spans="1:10" x14ac:dyDescent="0.3">
      <c r="A30" t="s">
        <v>33</v>
      </c>
      <c r="B30">
        <v>5697</v>
      </c>
      <c r="C30">
        <v>30030</v>
      </c>
      <c r="D30">
        <v>66953</v>
      </c>
      <c r="E30">
        <v>84252</v>
      </c>
      <c r="F30">
        <f t="shared" si="0"/>
        <v>186932</v>
      </c>
      <c r="G30" s="1">
        <f t="shared" si="1"/>
        <v>4.2711953659820958</v>
      </c>
      <c r="H30" s="1">
        <f t="shared" si="2"/>
        <v>1.2295371295371296</v>
      </c>
      <c r="I30" s="1">
        <f t="shared" si="3"/>
        <v>0.25837527818021599</v>
      </c>
      <c r="J30" s="1">
        <f t="shared" si="4"/>
        <v>1.4545845702537439</v>
      </c>
    </row>
    <row r="31" spans="1:10" x14ac:dyDescent="0.3">
      <c r="A31" t="s">
        <v>34</v>
      </c>
      <c r="B31">
        <v>3421</v>
      </c>
      <c r="C31">
        <v>2434</v>
      </c>
      <c r="D31">
        <v>4179</v>
      </c>
      <c r="E31">
        <v>5799</v>
      </c>
      <c r="F31">
        <f t="shared" si="0"/>
        <v>15833</v>
      </c>
      <c r="G31" s="1">
        <f t="shared" si="1"/>
        <v>-0.28851213095586087</v>
      </c>
      <c r="H31" s="1">
        <f t="shared" si="2"/>
        <v>0.71692686935086281</v>
      </c>
      <c r="I31" s="1">
        <f t="shared" si="3"/>
        <v>0.38765254845656855</v>
      </c>
      <c r="J31" s="1">
        <f t="shared" si="4"/>
        <v>0.19233971951659279</v>
      </c>
    </row>
    <row r="32" spans="1:10" x14ac:dyDescent="0.3">
      <c r="A32" t="s">
        <v>35</v>
      </c>
      <c r="B32">
        <v>31268</v>
      </c>
      <c r="C32">
        <v>66705</v>
      </c>
      <c r="D32">
        <v>162862</v>
      </c>
      <c r="E32">
        <v>249223</v>
      </c>
      <c r="F32">
        <f t="shared" si="0"/>
        <v>510058</v>
      </c>
      <c r="G32" s="1">
        <f t="shared" si="1"/>
        <v>1.1333312012280927</v>
      </c>
      <c r="H32" s="1">
        <f t="shared" si="2"/>
        <v>1.4415261224795743</v>
      </c>
      <c r="I32" s="1">
        <f t="shared" si="3"/>
        <v>0.53027102700445772</v>
      </c>
      <c r="J32" s="1">
        <f t="shared" si="4"/>
        <v>0.9975423951678295</v>
      </c>
    </row>
    <row r="33" spans="1:10" x14ac:dyDescent="0.3">
      <c r="A33" t="s">
        <v>36</v>
      </c>
      <c r="B33">
        <v>2395</v>
      </c>
      <c r="C33">
        <v>5324</v>
      </c>
      <c r="D33">
        <v>15561</v>
      </c>
      <c r="E33">
        <v>15330</v>
      </c>
      <c r="F33">
        <f t="shared" si="0"/>
        <v>38610</v>
      </c>
      <c r="G33" s="1">
        <f t="shared" si="1"/>
        <v>1.222964509394572</v>
      </c>
      <c r="H33" s="1">
        <f t="shared" si="2"/>
        <v>1.9228024042073628</v>
      </c>
      <c r="I33" s="1">
        <f t="shared" si="3"/>
        <v>-1.4844804318488529E-2</v>
      </c>
      <c r="J33" s="1">
        <f t="shared" si="4"/>
        <v>0.85671628130471178</v>
      </c>
    </row>
    <row r="34" spans="1:10" x14ac:dyDescent="0.3">
      <c r="A34" t="s">
        <v>37</v>
      </c>
      <c r="B34">
        <v>10079</v>
      </c>
      <c r="C34">
        <v>6408</v>
      </c>
      <c r="D34">
        <v>11150</v>
      </c>
      <c r="E34">
        <v>17699</v>
      </c>
      <c r="F34">
        <f t="shared" si="0"/>
        <v>45336</v>
      </c>
      <c r="G34" s="1">
        <f t="shared" si="1"/>
        <v>-0.36422264113503322</v>
      </c>
      <c r="H34" s="1">
        <f t="shared" si="2"/>
        <v>0.74001248439450684</v>
      </c>
      <c r="I34" s="1">
        <f t="shared" si="3"/>
        <v>0.58735426008968605</v>
      </c>
      <c r="J34" s="1">
        <f t="shared" si="4"/>
        <v>0.20645305647566592</v>
      </c>
    </row>
    <row r="35" spans="1:10" x14ac:dyDescent="0.3">
      <c r="A35" t="s">
        <v>43</v>
      </c>
      <c r="B35">
        <f>SUM(B2:B34)</f>
        <v>124681</v>
      </c>
      <c r="C35">
        <f t="shared" ref="C35:F35" si="5">SUM(C2:C34)</f>
        <v>331635</v>
      </c>
      <c r="D35">
        <f t="shared" si="5"/>
        <v>1025118</v>
      </c>
      <c r="E35">
        <f t="shared" si="5"/>
        <v>1395701</v>
      </c>
      <c r="F35">
        <f t="shared" si="5"/>
        <v>2877135</v>
      </c>
      <c r="G35" s="1">
        <f t="shared" si="1"/>
        <v>1.6598679830928529</v>
      </c>
      <c r="H35" s="1">
        <f t="shared" si="2"/>
        <v>2.0911031706544847</v>
      </c>
      <c r="I35" s="1">
        <f t="shared" si="3"/>
        <v>0.36150277333926434</v>
      </c>
      <c r="J35" s="1">
        <f t="shared" si="4"/>
        <v>1.2369899738460193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India_EV_Statewise_Wide_2019_20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2025-10-30T14:01:58Z</dcterms:created>
  <dcterms:modified xsi:type="dcterms:W3CDTF">2025-11-17T13:22:57Z</dcterms:modified>
</cp:coreProperties>
</file>